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Nutstore\1\Documents\文稿 - 孙伟策的MacBook Air - 1\文章\HECVRP-LATEX\"/>
    </mc:Choice>
  </mc:AlternateContent>
  <xr:revisionPtr revIDLastSave="0" documentId="13_ncr:1_{1BF56A17-CE88-4FD3-8838-E4F7E12CC0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I9" i="2"/>
  <c r="F9" i="2"/>
  <c r="C9" i="2"/>
  <c r="H8" i="2"/>
  <c r="I8" i="2" s="1"/>
  <c r="F8" i="2"/>
  <c r="C8" i="2"/>
  <c r="I7" i="2"/>
  <c r="F7" i="2"/>
  <c r="C7" i="2"/>
  <c r="I6" i="2"/>
  <c r="F6" i="2"/>
  <c r="C6" i="2"/>
  <c r="I5" i="2"/>
  <c r="F5" i="2"/>
  <c r="C5" i="2"/>
  <c r="C4" i="2"/>
  <c r="F3" i="2"/>
  <c r="C9" i="1"/>
</calcChain>
</file>

<file path=xl/sharedStrings.xml><?xml version="1.0" encoding="utf-8"?>
<sst xmlns="http://schemas.openxmlformats.org/spreadsheetml/2006/main" count="60" uniqueCount="19">
  <si>
    <t>Method</t>
    <phoneticPr fontId="1" type="noConversion"/>
  </si>
  <si>
    <t>C10-RC3-V3</t>
    <phoneticPr fontId="1" type="noConversion"/>
  </si>
  <si>
    <t>C20-RC3-V3</t>
    <phoneticPr fontId="1" type="noConversion"/>
  </si>
  <si>
    <t>C50-RC6-V3</t>
    <phoneticPr fontId="1" type="noConversion"/>
  </si>
  <si>
    <t>Obj.</t>
    <phoneticPr fontId="1" type="noConversion"/>
  </si>
  <si>
    <t>Gap(%)</t>
    <phoneticPr fontId="1" type="noConversion"/>
  </si>
  <si>
    <t>Time(s)</t>
    <phoneticPr fontId="1" type="noConversion"/>
  </si>
  <si>
    <t>Gurobi(3600)</t>
    <phoneticPr fontId="1" type="noConversion"/>
  </si>
  <si>
    <t>/</t>
    <phoneticPr fontId="1" type="noConversion"/>
  </si>
  <si>
    <t>Gurobi(60)</t>
    <phoneticPr fontId="1" type="noConversion"/>
  </si>
  <si>
    <t>MHA(Greedy)</t>
    <phoneticPr fontId="1" type="noConversion"/>
  </si>
  <si>
    <t>MHA(Sample 1000)</t>
    <phoneticPr fontId="1" type="noConversion"/>
  </si>
  <si>
    <t>MHA(Sample 10000)</t>
    <phoneticPr fontId="1" type="noConversion"/>
  </si>
  <si>
    <t>GE-MHA(Greedy)</t>
    <phoneticPr fontId="1" type="noConversion"/>
  </si>
  <si>
    <t>GE-MHA(Sample 1000)</t>
    <phoneticPr fontId="1" type="noConversion"/>
  </si>
  <si>
    <t>GE-MHA(Sample 10000)</t>
    <phoneticPr fontId="1" type="noConversion"/>
  </si>
  <si>
    <t>C10-RC3-V5</t>
    <phoneticPr fontId="1" type="noConversion"/>
  </si>
  <si>
    <t>C20-RC3-V5</t>
    <phoneticPr fontId="1" type="noConversion"/>
  </si>
  <si>
    <t>C50-RC6-V5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</si>
</sst>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0" fillId="0" borderId="0" xfId="0" applyNumberFormat="1"/>
    <xf numFmtId="176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D29" sqref="D29"/>
    </sheetView>
  </sheetViews>
  <sheetFormatPr defaultRowHeight="14.25" x14ac:dyDescent="0.2"/>
  <sheetData>
    <row r="1" spans="1:10" x14ac:dyDescent="0.2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</row>
    <row r="2" spans="1:10" x14ac:dyDescent="0.2">
      <c r="A2" s="1"/>
      <c r="B2" s="3" t="s">
        <v>4</v>
      </c>
      <c r="C2" s="3" t="s">
        <v>5</v>
      </c>
      <c r="D2" s="3" t="s">
        <v>6</v>
      </c>
      <c r="E2" s="3" t="s">
        <v>4</v>
      </c>
      <c r="F2" s="3" t="s">
        <v>5</v>
      </c>
      <c r="G2" s="3" t="s">
        <v>6</v>
      </c>
      <c r="H2" s="3" t="s">
        <v>4</v>
      </c>
      <c r="I2" s="3" t="s">
        <v>5</v>
      </c>
      <c r="J2" s="3" t="s">
        <v>6</v>
      </c>
    </row>
    <row r="3" spans="1:10" x14ac:dyDescent="0.2">
      <c r="A3" s="3" t="s">
        <v>7</v>
      </c>
      <c r="B3" s="3">
        <v>1.419</v>
      </c>
      <c r="C3" s="4">
        <v>0</v>
      </c>
      <c r="D3" s="3">
        <v>143.96</v>
      </c>
      <c r="E3" s="4">
        <v>2.242</v>
      </c>
      <c r="F3" s="4">
        <v>0</v>
      </c>
      <c r="G3" s="4">
        <v>3600</v>
      </c>
      <c r="H3" s="3" t="s">
        <v>8</v>
      </c>
      <c r="I3" s="3" t="s">
        <v>8</v>
      </c>
      <c r="J3" s="3" t="s">
        <v>8</v>
      </c>
    </row>
    <row r="4" spans="1:10" x14ac:dyDescent="0.2">
      <c r="A4" s="3" t="s">
        <v>9</v>
      </c>
      <c r="B4" s="3">
        <v>1.419</v>
      </c>
      <c r="C4" s="4">
        <v>0</v>
      </c>
      <c r="D4" s="3">
        <v>52.393999999999998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</row>
    <row r="5" spans="1:10" x14ac:dyDescent="0.2">
      <c r="A5" s="3" t="s">
        <v>10</v>
      </c>
      <c r="B5" s="3">
        <v>1.712</v>
      </c>
      <c r="C5" s="4">
        <v>20.648343904157851</v>
      </c>
      <c r="D5" s="3">
        <v>9.0999999999999998E-2</v>
      </c>
      <c r="E5" s="4">
        <v>2.8210000000000002</v>
      </c>
      <c r="F5" s="4">
        <v>25.825156110615531</v>
      </c>
      <c r="G5" s="4">
        <v>0.13200000000000001</v>
      </c>
      <c r="H5" s="4">
        <v>4.4690000000000003</v>
      </c>
      <c r="I5" s="4">
        <v>13.512827025654065</v>
      </c>
      <c r="J5" s="4">
        <v>0.34399999999999997</v>
      </c>
    </row>
    <row r="6" spans="1:10" x14ac:dyDescent="0.2">
      <c r="A6" s="3" t="s">
        <v>11</v>
      </c>
      <c r="B6" s="3">
        <v>1.444</v>
      </c>
      <c r="C6" s="4">
        <v>1.7618040873854763</v>
      </c>
      <c r="D6" s="3">
        <v>0.13200000000000001</v>
      </c>
      <c r="E6" s="4">
        <v>2.36</v>
      </c>
      <c r="F6" s="4">
        <v>5.2631578947368372</v>
      </c>
      <c r="G6" s="4">
        <v>0.191</v>
      </c>
      <c r="H6" s="4">
        <v>4.4039999999999999</v>
      </c>
      <c r="I6" s="4">
        <v>11.861823723647449</v>
      </c>
      <c r="J6" s="4">
        <v>0.47399999999999998</v>
      </c>
    </row>
    <row r="7" spans="1:10" x14ac:dyDescent="0.2">
      <c r="A7" s="3" t="s">
        <v>12</v>
      </c>
      <c r="B7" s="3">
        <v>1.431</v>
      </c>
      <c r="C7" s="4">
        <v>0.84566596194503196</v>
      </c>
      <c r="D7" s="3">
        <v>0.52900000000000003</v>
      </c>
      <c r="E7" s="4">
        <v>2.2869999999999999</v>
      </c>
      <c r="F7" s="4">
        <v>2.0071364852809959</v>
      </c>
      <c r="G7" s="4">
        <v>0.88900000000000001</v>
      </c>
      <c r="H7" s="4">
        <v>3.9889999999999999</v>
      </c>
      <c r="I7" s="4">
        <v>1.3208026416052845</v>
      </c>
      <c r="J7" s="4">
        <v>2.3119999999999998</v>
      </c>
    </row>
    <row r="8" spans="1:10" x14ac:dyDescent="0.2">
      <c r="A8" s="3" t="s">
        <v>13</v>
      </c>
      <c r="B8" s="3">
        <v>1.6359999999999999</v>
      </c>
      <c r="C8" s="4">
        <v>15.292459478505979</v>
      </c>
      <c r="D8" s="3">
        <v>8.7999999999999995E-2</v>
      </c>
      <c r="E8" s="4">
        <v>2.5209999999999999</v>
      </c>
      <c r="F8" s="4">
        <v>12.444246208742191</v>
      </c>
      <c r="G8" s="4">
        <v>0.11899999999999999</v>
      </c>
      <c r="H8" s="4">
        <v>4.3140000000000001</v>
      </c>
      <c r="I8" s="4">
        <v>9.57581915163831</v>
      </c>
      <c r="J8" s="4">
        <v>0.316</v>
      </c>
    </row>
    <row r="9" spans="1:10" x14ac:dyDescent="0.2">
      <c r="A9" s="3" t="s">
        <v>14</v>
      </c>
      <c r="B9" s="3">
        <v>1.419</v>
      </c>
      <c r="C9" s="4">
        <f>(B9-B3)/B3</f>
        <v>0</v>
      </c>
      <c r="D9" s="3">
        <v>0.121</v>
      </c>
      <c r="E9" s="4">
        <v>2.2970000000000002</v>
      </c>
      <c r="F9" s="4">
        <v>2.4531668153434505</v>
      </c>
      <c r="G9" s="4">
        <v>0.27600000000000002</v>
      </c>
      <c r="H9" s="4">
        <v>3.9780000000000002</v>
      </c>
      <c r="I9" s="4">
        <v>1.041402082804175</v>
      </c>
      <c r="J9" s="4">
        <v>0.40100000000000002</v>
      </c>
    </row>
    <row r="10" spans="1:10" x14ac:dyDescent="0.2">
      <c r="A10" s="3" t="s">
        <v>15</v>
      </c>
      <c r="B10" s="5">
        <v>1.419</v>
      </c>
      <c r="C10" s="4">
        <v>0</v>
      </c>
      <c r="D10" s="3">
        <v>0.51500000000000001</v>
      </c>
      <c r="E10" s="6">
        <v>2.2629999999999999</v>
      </c>
      <c r="F10" s="4">
        <v>0.93666369313112874</v>
      </c>
      <c r="G10" s="4">
        <v>0.94099999999999995</v>
      </c>
      <c r="H10" s="6">
        <v>3.9369999999999998</v>
      </c>
      <c r="I10" s="4">
        <v>0</v>
      </c>
      <c r="J10" s="4">
        <v>2.0510000000000002</v>
      </c>
    </row>
    <row r="11" spans="1:10" x14ac:dyDescent="0.2">
      <c r="F11" s="7"/>
    </row>
    <row r="12" spans="1:10" x14ac:dyDescent="0.2">
      <c r="E12" s="7"/>
    </row>
  </sheetData>
  <mergeCells count="4">
    <mergeCell ref="A1:A2"/>
    <mergeCell ref="B1:D1"/>
    <mergeCell ref="E1:G1"/>
    <mergeCell ref="H1:J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65BD-8F28-418E-ABAC-468989F9EBC0}">
  <dimension ref="A1:J10"/>
  <sheetViews>
    <sheetView workbookViewId="0">
      <selection sqref="A1:J10"/>
    </sheetView>
  </sheetViews>
  <sheetFormatPr defaultRowHeight="14.25" x14ac:dyDescent="0.2"/>
  <sheetData>
    <row r="1" spans="1:10" x14ac:dyDescent="0.2">
      <c r="A1" s="1" t="s">
        <v>0</v>
      </c>
      <c r="B1" s="2" t="s">
        <v>16</v>
      </c>
      <c r="C1" s="2"/>
      <c r="D1" s="2"/>
      <c r="E1" s="2" t="s">
        <v>17</v>
      </c>
      <c r="F1" s="2"/>
      <c r="G1" s="2"/>
      <c r="H1" s="2" t="s">
        <v>18</v>
      </c>
      <c r="I1" s="2"/>
      <c r="J1" s="2"/>
    </row>
    <row r="2" spans="1:10" x14ac:dyDescent="0.2">
      <c r="A2" s="1"/>
      <c r="B2" s="3" t="s">
        <v>4</v>
      </c>
      <c r="C2" s="3" t="s">
        <v>5</v>
      </c>
      <c r="D2" s="3" t="s">
        <v>6</v>
      </c>
      <c r="E2" s="3" t="s">
        <v>4</v>
      </c>
      <c r="F2" s="3" t="s">
        <v>5</v>
      </c>
      <c r="G2" s="3" t="s">
        <v>6</v>
      </c>
      <c r="H2" s="3" t="s">
        <v>4</v>
      </c>
      <c r="I2" s="3" t="s">
        <v>5</v>
      </c>
      <c r="J2" s="3" t="s">
        <v>6</v>
      </c>
    </row>
    <row r="3" spans="1:10" x14ac:dyDescent="0.2">
      <c r="A3" s="3" t="s">
        <v>7</v>
      </c>
      <c r="B3" s="8">
        <v>1.2154578197815584</v>
      </c>
      <c r="C3" s="4">
        <v>0</v>
      </c>
      <c r="D3" s="4">
        <v>845.85738626254249</v>
      </c>
      <c r="E3" s="4">
        <v>1.5509701099147712</v>
      </c>
      <c r="F3" s="4">
        <f>(E3-E10)/E10</f>
        <v>7.3900473486716398E-2</v>
      </c>
      <c r="G3" s="4">
        <v>3600</v>
      </c>
      <c r="H3" s="3" t="s">
        <v>8</v>
      </c>
      <c r="I3" s="3" t="s">
        <v>8</v>
      </c>
      <c r="J3" s="3" t="s">
        <v>8</v>
      </c>
    </row>
    <row r="4" spans="1:10" x14ac:dyDescent="0.2">
      <c r="A4" s="3" t="s">
        <v>9</v>
      </c>
      <c r="B4" s="4">
        <v>1.2458765081753649</v>
      </c>
      <c r="C4" s="4">
        <f>(B4-B3)/B3</f>
        <v>2.5026527369969361E-2</v>
      </c>
      <c r="D4" s="4">
        <v>56.285290114621368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</row>
    <row r="5" spans="1:10" x14ac:dyDescent="0.2">
      <c r="A5" s="3" t="s">
        <v>10</v>
      </c>
      <c r="B5" s="4">
        <v>1.3691915720841745</v>
      </c>
      <c r="C5" s="4">
        <f>(B5-B3)/B3</f>
        <v>0.12648217799137207</v>
      </c>
      <c r="D5" s="4">
        <v>9.7734459641943772E-2</v>
      </c>
      <c r="E5" s="4">
        <v>2.7497287240784756</v>
      </c>
      <c r="F5" s="4">
        <f>(E5-E10)/E10</f>
        <v>0.90392771586692211</v>
      </c>
      <c r="G5" s="4">
        <v>0.17434121328246863</v>
      </c>
      <c r="H5" s="4">
        <v>3.081298363421848</v>
      </c>
      <c r="I5" s="4">
        <f>(H5-H10)/H10</f>
        <v>0.25818640980628527</v>
      </c>
      <c r="J5" s="4">
        <v>0.40825948949343516</v>
      </c>
    </row>
    <row r="6" spans="1:10" x14ac:dyDescent="0.2">
      <c r="A6" s="3" t="s">
        <v>11</v>
      </c>
      <c r="B6" s="4">
        <v>1.2187293507288133</v>
      </c>
      <c r="C6" s="4">
        <f>(B6-B3)/B3</f>
        <v>2.6916038500149767E-3</v>
      </c>
      <c r="D6" s="4">
        <v>0.15754747033076655</v>
      </c>
      <c r="E6" s="4">
        <v>1.9712497381457259</v>
      </c>
      <c r="F6" s="4">
        <f>(E6-E10)/E10</f>
        <v>0.36490446438815632</v>
      </c>
      <c r="G6" s="4">
        <v>0.27991426475661679</v>
      </c>
      <c r="H6" s="4">
        <v>2.5925839858030768</v>
      </c>
      <c r="I6" s="4">
        <f>(H6-H10)/H10</f>
        <v>5.8629691931674048E-2</v>
      </c>
      <c r="J6" s="4">
        <v>0.61763181142015633</v>
      </c>
    </row>
    <row r="7" spans="1:10" x14ac:dyDescent="0.2">
      <c r="A7" s="3" t="s">
        <v>12</v>
      </c>
      <c r="B7" s="4">
        <v>1.2171493852820443</v>
      </c>
      <c r="C7" s="4">
        <f>(B7-B3)/B3</f>
        <v>1.3917105743660348E-3</v>
      </c>
      <c r="D7" s="4">
        <v>0.83501636096534737</v>
      </c>
      <c r="E7" s="4">
        <v>1.8687428742608034</v>
      </c>
      <c r="F7" s="4">
        <f>(E7-E10)/E10</f>
        <v>0.29392813224742548</v>
      </c>
      <c r="G7" s="4">
        <v>1.5164633941179109</v>
      </c>
      <c r="H7" s="4">
        <v>2.5236785987658656</v>
      </c>
      <c r="I7" s="4">
        <f>(H7-H10)/H10</f>
        <v>3.0493558617929097E-2</v>
      </c>
      <c r="J7" s="4">
        <v>3.5269641884791256</v>
      </c>
    </row>
    <row r="8" spans="1:10" x14ac:dyDescent="0.2">
      <c r="A8" s="3" t="s">
        <v>13</v>
      </c>
      <c r="B8" s="4">
        <v>1.4394771586931059</v>
      </c>
      <c r="C8" s="4">
        <f>(B8-B3)/B3</f>
        <v>0.18430860805339022</v>
      </c>
      <c r="D8" s="4">
        <v>0.10628375234082722</v>
      </c>
      <c r="E8" s="4">
        <v>1.6736197441685747</v>
      </c>
      <c r="F8" s="4">
        <f>(E8-E10)/E10</f>
        <v>0.15882377372063908</v>
      </c>
      <c r="G8" s="4">
        <v>0.15214389635257844</v>
      </c>
      <c r="H8" s="4">
        <f>GEOMEAN(H1:H7)</f>
        <v>2.7216579539565537</v>
      </c>
      <c r="I8" s="4">
        <f>(H8-H10)/H10</f>
        <v>0.1113344590254151</v>
      </c>
      <c r="J8" s="4">
        <v>0.34551334855147792</v>
      </c>
    </row>
    <row r="9" spans="1:10" x14ac:dyDescent="0.2">
      <c r="A9" s="3" t="s">
        <v>14</v>
      </c>
      <c r="B9" s="4">
        <v>1.22232963371423</v>
      </c>
      <c r="C9" s="4">
        <f>(B9-B3)/B3</f>
        <v>5.6536835921682212E-3</v>
      </c>
      <c r="D9" s="4">
        <v>0.16722736841837058</v>
      </c>
      <c r="E9" s="4">
        <v>1.4602769242198834</v>
      </c>
      <c r="F9" s="4">
        <f>(E9-E10)/E10</f>
        <v>1.1103998920800499E-2</v>
      </c>
      <c r="G9" s="4">
        <v>0.25697254242442558</v>
      </c>
      <c r="H9" s="4">
        <v>2.4601139625164561</v>
      </c>
      <c r="I9" s="4">
        <f>(H9-H10)/H10</f>
        <v>4.538213811763744E-3</v>
      </c>
      <c r="J9" s="4">
        <v>0.56198058513565563</v>
      </c>
    </row>
    <row r="10" spans="1:10" x14ac:dyDescent="0.2">
      <c r="A10" s="3" t="s">
        <v>15</v>
      </c>
      <c r="B10" s="8">
        <v>1.2213426979076365</v>
      </c>
      <c r="C10" s="4">
        <f>(B10-B3)/B3</f>
        <v>4.8416967090932888E-3</v>
      </c>
      <c r="D10" s="4">
        <v>0.87925741573604121</v>
      </c>
      <c r="E10" s="6">
        <v>1.4442400838870251</v>
      </c>
      <c r="F10" s="4">
        <v>0</v>
      </c>
      <c r="G10" s="4">
        <v>1.4458449136636644</v>
      </c>
      <c r="H10" s="6">
        <v>2.4489998774476156</v>
      </c>
      <c r="I10" s="4">
        <v>0</v>
      </c>
      <c r="J10" s="4">
        <v>3.4596550694848904</v>
      </c>
    </row>
  </sheetData>
  <mergeCells count="4">
    <mergeCell ref="A1:A2"/>
    <mergeCell ref="B1:D1"/>
    <mergeCell ref="E1:G1"/>
    <mergeCell ref="H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SWC</dc:creator>
  <cp:lastModifiedBy>Administrator</cp:lastModifiedBy>
  <dcterms:created xsi:type="dcterms:W3CDTF">2015-06-05T18:19:34Z</dcterms:created>
  <dcterms:modified xsi:type="dcterms:W3CDTF">2025-12-22T07:33:46Z</dcterms:modified>
</cp:coreProperties>
</file>